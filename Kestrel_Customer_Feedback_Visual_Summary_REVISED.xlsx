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ual Summary" sheetId="1" state="visible" r:id="rId1"/>
    <sheet xmlns:r="http://schemas.openxmlformats.org/officeDocument/2006/relationships" name="Feedback Analysis" sheetId="2" state="visible" r:id="rId2"/>
    <sheet xmlns:r="http://schemas.openxmlformats.org/officeDocument/2006/relationships" name="Chart Data" sheetId="3" state="visible" r:id="rId3"/>
    <sheet xmlns:r="http://schemas.openxmlformats.org/officeDocument/2006/relationships" name="Data Quality Notes" sheetId="4" state="visible" r:id="rId4"/>
  </sheets>
  <definedNames>
    <definedName name="_xlnm.Print_Area" localSheetId="0">'Visual Summary'!$B$2:$N$49</definedName>
    <definedName name="_xlnm._FilterDatabase" localSheetId="1" hidden="1">'Feedback Analysis'!$A$4:$D$12</definedName>
    <definedName name="_xlnm._FilterDatabase" localSheetId="2" hidden="1">'Chart Data'!$A$2:$C$14</definedName>
    <definedName name="_xlnm._FilterDatabase" localSheetId="3" hidden="1">'Data Quality Notes'!$A$2:$B$15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0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64748B"/>
      <sz val="10"/>
    </font>
    <font>
      <name val="Aptos"/>
      <b val="1"/>
      <color rgb="00FFFFFF"/>
      <sz val="9"/>
    </font>
    <font>
      <name val="Aptos Display"/>
      <b val="1"/>
      <color rgb="0017365D"/>
      <sz val="22"/>
    </font>
    <font>
      <name val="Aptos"/>
      <b val="1"/>
      <color rgb="00FFFFFF"/>
      <sz val="11"/>
    </font>
    <font>
      <name val="Aptos"/>
      <color rgb="001F2937"/>
      <sz val="10"/>
    </font>
    <font>
      <name val="Aptos"/>
      <b val="1"/>
      <color rgb="00FFFFFF"/>
      <sz val="10"/>
    </font>
    <font>
      <name val="Aptos"/>
      <b val="1"/>
      <color rgb="0017365D"/>
      <sz val="13"/>
    </font>
    <font>
      <name val="Aptos"/>
      <b val="1"/>
      <color rgb="0017365D"/>
      <sz val="10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0F6B78"/>
      </patternFill>
    </fill>
    <fill>
      <patternFill patternType="solid">
        <fgColor rgb="00DDEBF7"/>
      </patternFill>
    </fill>
    <fill>
      <patternFill patternType="solid">
        <fgColor rgb="00F3F6FA"/>
      </patternFill>
    </fill>
    <fill>
      <patternFill patternType="solid">
        <fgColor rgb="00FFFFFF"/>
      </patternFill>
    </fill>
  </fills>
  <borders count="13">
    <border>
      <left/>
      <right/>
      <top/>
      <bottom/>
      <diagonal/>
    </border>
    <border>
      <left style="thin">
        <color rgb="00D6DEE8"/>
      </left>
      <right style="thin">
        <color rgb="00D6DEE8"/>
      </right>
      <top style="thin">
        <color rgb="00D6DEE8"/>
      </top>
      <bottom style="thin">
        <color rgb="00D6DEE8"/>
      </bottom>
    </border>
    <border>
      <bottom style="medium">
        <color rgb="000F6B78"/>
      </bottom>
    </border>
    <border>
      <bottom style="thin">
        <color rgb="00D6DEE8"/>
      </bottom>
    </border>
    <border>
      <left/>
      <right/>
      <top style="thin">
        <color rgb="00D6DEE8"/>
      </top>
      <bottom/>
      <diagonal/>
    </border>
    <border>
      <left style="thin">
        <color rgb="00D6DEE8"/>
      </left>
      <right/>
      <top/>
      <bottom/>
      <diagonal/>
    </border>
    <border>
      <left/>
      <right style="thin">
        <color rgb="00D6DEE8"/>
      </right>
      <top style="thin">
        <color rgb="00D6DEE8"/>
      </top>
      <bottom/>
      <diagonal/>
    </border>
    <border>
      <left/>
      <right style="thin">
        <color rgb="00D6DEE8"/>
      </right>
      <top/>
      <bottom/>
      <diagonal/>
    </border>
    <border>
      <left style="thin">
        <color rgb="00D6DEE8"/>
      </left>
      <right/>
      <top/>
      <bottom style="thin">
        <color rgb="00D6DEE8"/>
      </bottom>
      <diagonal/>
    </border>
    <border>
      <left/>
      <right/>
      <top/>
      <bottom style="thin">
        <color rgb="00D6DEE8"/>
      </bottom>
      <diagonal/>
    </border>
    <border>
      <left/>
      <right style="thin">
        <color rgb="00D6DEE8"/>
      </right>
      <top/>
      <bottom style="thin">
        <color rgb="00D6DEE8"/>
      </bottom>
      <diagonal/>
    </border>
    <border>
      <left/>
      <right/>
      <top style="thin">
        <color rgb="00D6DEE8"/>
      </top>
      <bottom style="thin">
        <color rgb="00D6DEE8"/>
      </bottom>
      <diagonal/>
    </border>
    <border>
      <left/>
      <right style="thin">
        <color rgb="00D6DEE8"/>
      </right>
      <top style="thin">
        <color rgb="00D6DEE8"/>
      </top>
      <bottom style="thin">
        <color rgb="00D6DEE8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5" fillId="2" borderId="0" applyAlignment="1" pivotButton="0" quotePrefix="0" xfId="0">
      <alignment vertical="center"/>
    </xf>
    <xf numFmtId="0" fontId="6" fillId="7" borderId="0" applyAlignment="1" pivotButton="0" quotePrefix="0" xfId="0">
      <alignment vertical="center" wrapText="1"/>
    </xf>
    <xf numFmtId="0" fontId="6" fillId="8" borderId="0" applyAlignment="1" pivotButton="0" quotePrefix="0" xfId="0">
      <alignment vertical="center" wrapText="1"/>
    </xf>
    <xf numFmtId="0" fontId="8" fillId="0" borderId="0" pivotButton="0" quotePrefix="0" xfId="0"/>
    <xf numFmtId="0" fontId="7" fillId="3" borderId="2" applyAlignment="1" pivotButton="0" quotePrefix="0" xfId="0">
      <alignment vertical="center" wrapText="1"/>
    </xf>
    <xf numFmtId="0" fontId="6" fillId="0" borderId="3" applyAlignment="1" pivotButton="0" quotePrefix="0" xfId="0">
      <alignment vertical="top" wrapText="1"/>
    </xf>
    <xf numFmtId="2" fontId="6" fillId="0" borderId="3" applyAlignment="1" pivotButton="0" quotePrefix="0" xfId="0">
      <alignment vertical="top" wrapText="1"/>
    </xf>
    <xf numFmtId="0" fontId="6" fillId="7" borderId="3" applyAlignment="1" pivotButton="0" quotePrefix="0" xfId="0">
      <alignment vertical="top" wrapText="1"/>
    </xf>
    <xf numFmtId="2" fontId="6" fillId="7" borderId="3" applyAlignment="1" pivotButton="0" quotePrefix="0" xfId="0">
      <alignment vertical="top" wrapText="1"/>
    </xf>
    <xf numFmtId="0" fontId="9" fillId="4" borderId="3" applyAlignment="1" pivotButton="0" quotePrefix="0" xfId="0">
      <alignment vertical="top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Average Rating</a:t>
            </a:r>
          </a:p>
        </rich>
      </tx>
    </title>
    <plotArea>
      <lineChart>
        <grouping val="standard"/>
        <ser>
          <idx val="0"/>
          <order val="0"/>
          <tx>
            <strRef>
              <f>'Chart Data'!B2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 Data'!$A$3:$A$14</f>
            </numRef>
          </cat>
          <val>
            <numRef>
              <f>'Chart Data'!$B$3:$B$14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rating (out of 5)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Rating by Feedback Theme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 Data'!B17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Data'!$A$18:$A$25</f>
            </numRef>
          </cat>
          <val>
            <numRef>
              <f>'Chart Data'!$B$18:$B$25</f>
            </numRef>
          </val>
        </ser>
        <gapWidth val="150"/>
        <axId val="10"/>
        <axId val="100"/>
      </barChart>
      <catAx>
        <axId val="10"/>
        <scaling>
          <orientation val="minMax"/>
          <max val="5"/>
          <min val="0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Theme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rating (out of 5)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Distribution of Numeric Ratings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Data'!B28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Data'!$A$29:$A$33</f>
            </numRef>
          </cat>
          <val>
            <numRef>
              <f>'Chart Data'!$B$29:$B$33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Customer rating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records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Five Lowest-Rated Dealerships with Matched Service Data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 Data'!B36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Data'!$A$37:$A$41</f>
            </numRef>
          </cat>
          <val>
            <numRef>
              <f>'Chart Data'!$B$37:$B$41</f>
            </numRef>
          </val>
        </ser>
        <gapWidth val="150"/>
        <axId val="10"/>
        <axId val="100"/>
      </barChart>
      <catAx>
        <axId val="10"/>
        <scaling>
          <orientation val="minMax"/>
          <max val="5"/>
          <min val="0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Dealership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rating (out of 5)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558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14</row>
      <rowOff>0</rowOff>
    </from>
    <ext cx="558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31</row>
      <rowOff>0</rowOff>
    </from>
    <ext cx="558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31</row>
      <rowOff>0</rowOff>
    </from>
    <ext cx="5580000" cy="30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B2:N12"/>
  <sheetViews>
    <sheetView showGridLines="0" zoomScale="8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2" ht="34" customHeight="1">
      <c r="B2" s="1" t="inlineStr">
        <is>
          <t>KESTREL MOTOR GROUP | CUSTOMER FEEDBACK SUMMARY</t>
        </is>
      </c>
    </row>
    <row r="3" ht="30" customHeight="1">
      <c r="B3" s="2" t="inlineStr">
        <is>
          <t>Reporting period: Oct 2025–Sep 2026. Numeric-rating analysis excludes Ringwood and Tamworth pending data validation.</t>
        </is>
      </c>
    </row>
    <row r="5">
      <c r="B5" s="3" t="inlineStr">
        <is>
          <t>TOTAL FEEDBACK RECORDS</t>
        </is>
      </c>
      <c r="C5" s="19" t="n"/>
      <c r="D5" s="20" t="n"/>
      <c r="E5" s="5" t="inlineStr">
        <is>
          <t>VALID RATINGS ANALYSED</t>
        </is>
      </c>
      <c r="F5" s="19" t="n"/>
      <c r="G5" s="20" t="n"/>
      <c r="H5" s="3" t="inlineStr">
        <is>
          <t>AVERAGE RATING</t>
        </is>
      </c>
      <c r="I5" s="19" t="n"/>
      <c r="J5" s="20" t="n"/>
      <c r="K5" s="5" t="inlineStr">
        <is>
          <t>RATINGS ≤ 2</t>
        </is>
      </c>
      <c r="L5" s="19" t="n"/>
      <c r="M5" s="19" t="n"/>
      <c r="N5" s="20" t="n"/>
    </row>
    <row r="6">
      <c r="B6" s="6" t="n">
        <v>7086</v>
      </c>
      <c r="C6" s="21" t="n"/>
      <c r="D6" s="22" t="n"/>
      <c r="E6" s="7" t="n">
        <v>6489</v>
      </c>
      <c r="F6" s="21" t="n"/>
      <c r="G6" s="22" t="n"/>
      <c r="H6" s="6" t="n">
        <v>3.74</v>
      </c>
      <c r="I6" s="21" t="n"/>
      <c r="J6" s="22" t="n"/>
      <c r="K6" s="8" t="n">
        <v>22.8</v>
      </c>
      <c r="L6" s="21" t="n"/>
      <c r="M6" s="21" t="n"/>
      <c r="N6" s="22" t="n"/>
    </row>
    <row r="7">
      <c r="B7" s="23" t="n"/>
      <c r="C7" s="24" t="n"/>
      <c r="D7" s="25" t="n"/>
      <c r="E7" s="23" t="n"/>
      <c r="F7" s="24" t="n"/>
      <c r="G7" s="25" t="n"/>
      <c r="H7" s="23" t="n"/>
      <c r="I7" s="24" t="n"/>
      <c r="J7" s="25" t="n"/>
      <c r="K7" s="23" t="n"/>
      <c r="L7" s="24" t="n"/>
      <c r="M7" s="24" t="n"/>
      <c r="N7" s="25" t="n"/>
    </row>
    <row r="8" ht="23" customHeight="1">
      <c r="B8" s="9" t="inlineStr">
        <is>
          <t>KEY TAKEAWAYS</t>
        </is>
      </c>
    </row>
    <row r="9" ht="25" customHeight="1">
      <c r="B9" s="10" t="inlineStr">
        <is>
          <t>• Repair quality has the lowest theme average (2.53/5; 387 tagged records).</t>
        </is>
      </c>
    </row>
    <row r="10" ht="25" customHeight="1">
      <c r="B10" s="11" t="inlineStr">
        <is>
          <t>• Cleanliness/facilities averages 2.59/5, but its sample is small (56 tagged records); validate before broad action.</t>
        </is>
      </c>
    </row>
    <row r="11" ht="25" customHeight="1">
      <c r="B11" s="10" t="inlineStr">
        <is>
          <t>• Monthly ratings reached 3.55/5 in Aug 2026 and rose to 3.73/5 in Sep 2026; the trend does not establish cause.</t>
        </is>
      </c>
    </row>
    <row r="12" ht="34" customHeight="1">
      <c r="B12" s="11" t="inlineStr">
        <is>
          <t>• Sentiment chart intentionally omitted: VADER baseline agreed with manual labels on 18 of 30 comments (60%) in the notebook's current validation sample.</t>
        </is>
      </c>
    </row>
  </sheetData>
  <mergeCells count="15">
    <mergeCell ref="E6:G7"/>
    <mergeCell ref="H6:J7"/>
    <mergeCell ref="B5:D5"/>
    <mergeCell ref="B6:D7"/>
    <mergeCell ref="B9:N9"/>
    <mergeCell ref="E5:G5"/>
    <mergeCell ref="B8:N8"/>
    <mergeCell ref="H5:J5"/>
    <mergeCell ref="B12:N12"/>
    <mergeCell ref="K6:N7"/>
    <mergeCell ref="B11:N11"/>
    <mergeCell ref="B3:N3"/>
    <mergeCell ref="B2:N2"/>
    <mergeCell ref="K5:N5"/>
    <mergeCell ref="B10:N10"/>
  </mergeCells>
  <pageMargins left="0.25" right="0.25" top="0.35" bottom="0.35" header="0.15" footer="0.15"/>
  <pageSetup orientation="landscape" fitToHeight="2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D21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8" customWidth="1" min="3" max="3"/>
    <col width="76" customWidth="1" min="4" max="4"/>
  </cols>
  <sheetData>
    <row r="1" ht="34" customHeight="1">
      <c r="A1" s="1" t="inlineStr">
        <is>
          <t>FEEDBACK ANALYSIS | AGGREGATED FINDINGS</t>
        </is>
      </c>
    </row>
    <row r="3">
      <c r="A3" s="12" t="inlineStr">
        <is>
          <t>Theme performance</t>
        </is>
      </c>
    </row>
    <row r="4" ht="28" customHeight="1">
      <c r="A4" s="13" t="inlineStr">
        <is>
          <t>Feedback theme</t>
        </is>
      </c>
      <c r="B4" s="13" t="inlineStr">
        <is>
          <t>Average rating / 5</t>
        </is>
      </c>
      <c r="C4" s="13" t="inlineStr">
        <is>
          <t>Tagged records</t>
        </is>
      </c>
      <c r="D4" s="13" t="inlineStr">
        <is>
          <t>Interpretation</t>
        </is>
      </c>
    </row>
    <row r="5">
      <c r="A5" s="14" t="inlineStr">
        <is>
          <t>Repair quality</t>
        </is>
      </c>
      <c r="B5" s="15" t="n">
        <v>2.534883720930233</v>
      </c>
      <c r="C5" s="14" t="n">
        <v>387</v>
      </c>
      <c r="D5" s="14" t="inlineStr">
        <is>
          <t>Priority investigation area.</t>
        </is>
      </c>
    </row>
    <row r="6">
      <c r="A6" s="16" t="inlineStr">
        <is>
          <t>Cleanliness and facilities</t>
        </is>
      </c>
      <c r="B6" s="17" t="n">
        <v>2.589285714285714</v>
      </c>
      <c r="C6" s="16" t="n">
        <v>56</v>
      </c>
      <c r="D6" s="16" t="inlineStr">
        <is>
          <t>Validate the small sample before broad action.</t>
        </is>
      </c>
    </row>
    <row r="7">
      <c r="A7" s="14" t="inlineStr">
        <is>
          <t>Booking and appointments</t>
        </is>
      </c>
      <c r="B7" s="15" t="n">
        <v>2.608</v>
      </c>
      <c r="C7" s="14" t="n">
        <v>250</v>
      </c>
      <c r="D7" s="14" t="inlineStr">
        <is>
          <t>Priority investigation area.</t>
        </is>
      </c>
    </row>
    <row r="8">
      <c r="A8" s="16" t="inlineStr">
        <is>
          <t>Waiting time</t>
        </is>
      </c>
      <c r="B8" s="17" t="n">
        <v>2.77495107632094</v>
      </c>
      <c r="C8" s="16" t="n">
        <v>511</v>
      </c>
      <c r="D8" s="16" t="inlineStr">
        <is>
          <t>Priority investigation area.</t>
        </is>
      </c>
    </row>
    <row r="9">
      <c r="A9" s="14" t="inlineStr">
        <is>
          <t>Communication</t>
        </is>
      </c>
      <c r="B9" s="15" t="n">
        <v>2.836628511966701</v>
      </c>
      <c r="C9" s="14" t="n">
        <v>961</v>
      </c>
      <c r="D9" s="14" t="inlineStr">
        <is>
          <t>Priority investigation area.</t>
        </is>
      </c>
    </row>
    <row r="10">
      <c r="A10" s="16" t="inlineStr">
        <is>
          <t>Parts availability</t>
        </is>
      </c>
      <c r="B10" s="17" t="n">
        <v>3.039577836411609</v>
      </c>
      <c r="C10" s="16" t="n">
        <v>379</v>
      </c>
      <c r="D10" s="16" t="inlineStr">
        <is>
          <t>Monitor trend and sample size.</t>
        </is>
      </c>
    </row>
    <row r="11">
      <c r="A11" s="14" t="inlineStr">
        <is>
          <t>Pricing and billing</t>
        </is>
      </c>
      <c r="B11" s="15" t="n">
        <v>3.369175627240143</v>
      </c>
      <c r="C11" s="14" t="n">
        <v>558</v>
      </c>
      <c r="D11" s="14" t="inlineStr">
        <is>
          <t>Monitor trend and sample size.</t>
        </is>
      </c>
    </row>
    <row r="12">
      <c r="A12" s="16" t="inlineStr">
        <is>
          <t>Staff behaviour</t>
        </is>
      </c>
      <c r="B12" s="17" t="n">
        <v>4.022598870056497</v>
      </c>
      <c r="C12" s="16" t="n">
        <v>531</v>
      </c>
      <c r="D12" s="16" t="inlineStr">
        <is>
          <t>Relative strength in this theme set.</t>
        </is>
      </c>
    </row>
    <row r="15">
      <c r="A15" s="12" t="inlineStr">
        <is>
          <t>Lower-rated dealerships with matched service data</t>
        </is>
      </c>
    </row>
    <row r="16" ht="28" customHeight="1">
      <c r="A16" s="13" t="inlineStr">
        <is>
          <t>Dealership</t>
        </is>
      </c>
      <c r="B16" s="13" t="inlineStr">
        <is>
          <t>Average rating / 5</t>
        </is>
      </c>
      <c r="C16" s="13" t="inlineStr">
        <is>
          <t>Feedback records</t>
        </is>
      </c>
      <c r="D16" s="13" t="inlineStr">
        <is>
          <t>Combined service revenue</t>
        </is>
      </c>
    </row>
    <row r="17">
      <c r="A17" s="14" t="inlineStr">
        <is>
          <t>Kestrel Parramatta</t>
        </is>
      </c>
      <c r="B17" s="15" t="n">
        <v>3.59</v>
      </c>
      <c r="C17" s="14" t="n">
        <v>479</v>
      </c>
      <c r="D17" s="14" t="inlineStr">
        <is>
          <t>Included in combined service revenue of approximately A$19.66M</t>
        </is>
      </c>
    </row>
    <row r="18">
      <c r="A18" s="16" t="inlineStr">
        <is>
          <t>Kestrel Box Hill</t>
        </is>
      </c>
      <c r="B18" s="17" t="n">
        <v>3.63</v>
      </c>
      <c r="C18" s="16" t="n">
        <v>309</v>
      </c>
      <c r="D18" s="16" t="inlineStr">
        <is>
          <t>Included in combined service revenue of approximately A$19.66M</t>
        </is>
      </c>
    </row>
    <row r="19">
      <c r="A19" s="14" t="inlineStr">
        <is>
          <t>Kestrel Dandenong</t>
        </is>
      </c>
      <c r="B19" s="15" t="n">
        <v>3.64</v>
      </c>
      <c r="C19" s="14" t="n">
        <v>484</v>
      </c>
      <c r="D19" s="14" t="inlineStr">
        <is>
          <t>Included in combined service revenue of approximately A$19.66M</t>
        </is>
      </c>
    </row>
    <row r="20">
      <c r="A20" s="16" t="inlineStr">
        <is>
          <t>Kestrel Southport</t>
        </is>
      </c>
      <c r="B20" s="17" t="n">
        <v>3.64</v>
      </c>
      <c r="C20" s="16" t="n">
        <v>250</v>
      </c>
      <c r="D20" s="16" t="inlineStr">
        <is>
          <t>Included in combined service revenue of approximately A$19.66M</t>
        </is>
      </c>
    </row>
    <row r="21">
      <c r="A21" s="14" t="inlineStr">
        <is>
          <t>Kestrel Essendon</t>
        </is>
      </c>
      <c r="B21" s="15" t="n">
        <v>3.64</v>
      </c>
      <c r="C21" s="14" t="n">
        <v>346</v>
      </c>
      <c r="D21" s="14" t="inlineStr">
        <is>
          <t>Included in combined service revenue of approximately A$19.66M</t>
        </is>
      </c>
    </row>
  </sheetData>
  <autoFilter ref="A4:D12"/>
  <mergeCells count="1">
    <mergeCell ref="A1:D1"/>
  </mergeCells>
  <pageMargins left="0.25" right="0.25" top="0.35" bottom="0.35" header="0.15" footer="0.1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L41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</cols>
  <sheetData>
    <row r="1" ht="34" customHeight="1">
      <c r="A1" s="1" t="inlineStr">
        <is>
          <t>CHART DATA | SOURCE VALUES</t>
        </is>
      </c>
    </row>
    <row r="2" ht="28" customHeight="1">
      <c r="A2" s="13" t="inlineStr">
        <is>
          <t>Month</t>
        </is>
      </c>
      <c r="B2" s="13" t="inlineStr">
        <is>
          <t>Average rating</t>
        </is>
      </c>
      <c r="C2" s="13" t="inlineStr">
        <is>
          <t>Valid ratings</t>
        </is>
      </c>
    </row>
    <row r="3">
      <c r="A3" s="14" t="inlineStr">
        <is>
          <t>Oct 2025</t>
        </is>
      </c>
      <c r="B3" s="14" t="n">
        <v>3.82037037037037</v>
      </c>
      <c r="C3" s="14" t="n">
        <v>540</v>
      </c>
    </row>
    <row r="4">
      <c r="A4" s="16" t="inlineStr">
        <is>
          <t>Nov 2025</t>
        </is>
      </c>
      <c r="B4" s="16" t="n">
        <v>3.872255489021956</v>
      </c>
      <c r="C4" s="16" t="n">
        <v>501</v>
      </c>
    </row>
    <row r="5">
      <c r="A5" s="14" t="inlineStr">
        <is>
          <t>Dec 2025</t>
        </is>
      </c>
      <c r="B5" s="14" t="n">
        <v>3.950310559006211</v>
      </c>
      <c r="C5" s="14" t="n">
        <v>483</v>
      </c>
    </row>
    <row r="6">
      <c r="A6" s="16" t="inlineStr">
        <is>
          <t>Jan 2026</t>
        </is>
      </c>
      <c r="B6" s="16" t="n">
        <v>3.717622080679405</v>
      </c>
      <c r="C6" s="16" t="n">
        <v>471</v>
      </c>
    </row>
    <row r="7">
      <c r="A7" s="14" t="inlineStr">
        <is>
          <t>Feb 2026</t>
        </is>
      </c>
      <c r="B7" s="14" t="n">
        <v>3.867403314917127</v>
      </c>
      <c r="C7" s="14" t="n">
        <v>543</v>
      </c>
    </row>
    <row r="8">
      <c r="A8" s="16" t="inlineStr">
        <is>
          <t>Mar 2026</t>
        </is>
      </c>
      <c r="B8" s="16" t="n">
        <v>3.792553191489362</v>
      </c>
      <c r="C8" s="16" t="n">
        <v>564</v>
      </c>
    </row>
    <row r="9">
      <c r="A9" s="14" t="inlineStr">
        <is>
          <t>Apr 2026</t>
        </is>
      </c>
      <c r="B9" s="14" t="n">
        <v>3.631192660550459</v>
      </c>
      <c r="C9" s="14" t="n">
        <v>545</v>
      </c>
    </row>
    <row r="10">
      <c r="A10" s="16" t="inlineStr">
        <is>
          <t>May 2026</t>
        </is>
      </c>
      <c r="B10" s="16" t="n">
        <v>3.715789473684211</v>
      </c>
      <c r="C10" s="16" t="n">
        <v>570</v>
      </c>
    </row>
    <row r="11">
      <c r="A11" s="14" t="inlineStr">
        <is>
          <t>Jun 2026</t>
        </is>
      </c>
      <c r="B11" s="14" t="n">
        <v>3.602517985611511</v>
      </c>
      <c r="C11" s="14" t="n">
        <v>556</v>
      </c>
    </row>
    <row r="12">
      <c r="A12" s="16" t="inlineStr">
        <is>
          <t>Jul 2026</t>
        </is>
      </c>
      <c r="B12" s="16" t="n">
        <v>3.697674418604651</v>
      </c>
      <c r="C12" s="16" t="n">
        <v>559</v>
      </c>
    </row>
    <row r="13">
      <c r="A13" s="14" t="inlineStr">
        <is>
          <t>Aug 2026</t>
        </is>
      </c>
      <c r="B13" s="14" t="n">
        <v>3.549295774647887</v>
      </c>
      <c r="C13" s="14" t="n">
        <v>568</v>
      </c>
    </row>
    <row r="14">
      <c r="A14" s="16" t="inlineStr">
        <is>
          <t>Sep 2026</t>
        </is>
      </c>
      <c r="B14" s="16" t="n">
        <v>3.731239092495637</v>
      </c>
      <c r="C14" s="16" t="n">
        <v>573</v>
      </c>
    </row>
    <row r="17" ht="28" customHeight="1">
      <c r="A17" s="13" t="inlineStr">
        <is>
          <t>Theme</t>
        </is>
      </c>
      <c r="B17" s="13" t="inlineStr">
        <is>
          <t>Average rating</t>
        </is>
      </c>
      <c r="C17" s="13" t="inlineStr">
        <is>
          <t>Tagged records</t>
        </is>
      </c>
    </row>
    <row r="18">
      <c r="A18" s="14" t="inlineStr">
        <is>
          <t>Repair quality</t>
        </is>
      </c>
      <c r="B18" s="14" t="n">
        <v>2.534883720930233</v>
      </c>
      <c r="C18" s="14" t="n">
        <v>387</v>
      </c>
    </row>
    <row r="19">
      <c r="A19" s="16" t="inlineStr">
        <is>
          <t>Cleanliness and facilities</t>
        </is>
      </c>
      <c r="B19" s="16" t="n">
        <v>2.589285714285714</v>
      </c>
      <c r="C19" s="16" t="n">
        <v>56</v>
      </c>
    </row>
    <row r="20">
      <c r="A20" s="14" t="inlineStr">
        <is>
          <t>Booking and appointments</t>
        </is>
      </c>
      <c r="B20" s="14" t="n">
        <v>2.608</v>
      </c>
      <c r="C20" s="14" t="n">
        <v>250</v>
      </c>
    </row>
    <row r="21">
      <c r="A21" s="16" t="inlineStr">
        <is>
          <t>Waiting time</t>
        </is>
      </c>
      <c r="B21" s="16" t="n">
        <v>2.77495107632094</v>
      </c>
      <c r="C21" s="16" t="n">
        <v>511</v>
      </c>
    </row>
    <row r="22">
      <c r="A22" s="14" t="inlineStr">
        <is>
          <t>Communication</t>
        </is>
      </c>
      <c r="B22" s="14" t="n">
        <v>2.836628511966701</v>
      </c>
      <c r="C22" s="14" t="n">
        <v>961</v>
      </c>
    </row>
    <row r="23">
      <c r="A23" s="16" t="inlineStr">
        <is>
          <t>Parts availability</t>
        </is>
      </c>
      <c r="B23" s="16" t="n">
        <v>3.039577836411609</v>
      </c>
      <c r="C23" s="16" t="n">
        <v>379</v>
      </c>
    </row>
    <row r="24">
      <c r="A24" s="14" t="inlineStr">
        <is>
          <t>Pricing and billing</t>
        </is>
      </c>
      <c r="B24" s="14" t="n">
        <v>3.369175627240143</v>
      </c>
      <c r="C24" s="14" t="n">
        <v>558</v>
      </c>
    </row>
    <row r="25">
      <c r="A25" s="16" t="inlineStr">
        <is>
          <t>Staff behaviour</t>
        </is>
      </c>
      <c r="B25" s="16" t="n">
        <v>4.022598870056497</v>
      </c>
      <c r="C25" s="16" t="n">
        <v>531</v>
      </c>
    </row>
    <row r="28" ht="28" customHeight="1">
      <c r="A28" s="13" t="inlineStr">
        <is>
          <t>Customer rating</t>
        </is>
      </c>
      <c r="B28" s="13" t="inlineStr">
        <is>
          <t>Record count</t>
        </is>
      </c>
    </row>
    <row r="29">
      <c r="A29" s="14" t="n">
        <v>1</v>
      </c>
      <c r="B29" s="14" t="n">
        <v>885</v>
      </c>
    </row>
    <row r="30">
      <c r="A30" s="16" t="n">
        <v>2</v>
      </c>
      <c r="B30" s="16" t="n">
        <v>596</v>
      </c>
    </row>
    <row r="31">
      <c r="A31" s="14" t="n">
        <v>3</v>
      </c>
      <c r="B31" s="14" t="n">
        <v>701</v>
      </c>
    </row>
    <row r="32">
      <c r="A32" s="16" t="n">
        <v>4</v>
      </c>
      <c r="B32" s="16" t="n">
        <v>1433</v>
      </c>
    </row>
    <row r="33">
      <c r="A33" s="14" t="n">
        <v>5</v>
      </c>
      <c r="B33" s="14" t="n">
        <v>2874</v>
      </c>
    </row>
    <row r="36" ht="28" customHeight="1">
      <c r="A36" s="13" t="inlineStr">
        <is>
          <t>Dealership</t>
        </is>
      </c>
      <c r="B36" s="13" t="inlineStr">
        <is>
          <t>Average rating</t>
        </is>
      </c>
    </row>
    <row r="37">
      <c r="A37" s="14" t="inlineStr">
        <is>
          <t>Kestrel Parramatta</t>
        </is>
      </c>
      <c r="B37" s="14" t="n">
        <v>3.59</v>
      </c>
    </row>
    <row r="38">
      <c r="A38" s="16" t="inlineStr">
        <is>
          <t>Kestrel Box Hill</t>
        </is>
      </c>
      <c r="B38" s="16" t="n">
        <v>3.63</v>
      </c>
    </row>
    <row r="39">
      <c r="A39" s="14" t="inlineStr">
        <is>
          <t>Kestrel Dandenong</t>
        </is>
      </c>
      <c r="B39" s="14" t="n">
        <v>3.64</v>
      </c>
    </row>
    <row r="40">
      <c r="A40" s="16" t="inlineStr">
        <is>
          <t>Kestrel Southport</t>
        </is>
      </c>
      <c r="B40" s="16" t="n">
        <v>3.64</v>
      </c>
    </row>
    <row r="41">
      <c r="A41" s="14" t="inlineStr">
        <is>
          <t>Kestrel Essendon</t>
        </is>
      </c>
      <c r="B41" s="14" t="n">
        <v>3.64</v>
      </c>
    </row>
  </sheetData>
  <autoFilter ref="A2:C14"/>
  <mergeCells count="1">
    <mergeCell ref="A1:L1"/>
  </mergeCells>
  <pageMargins left="0.25" right="0.25" top="0.35" bottom="0.35" header="0.15" footer="0.15"/>
  <pageSetup orientation="landscape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B15"/>
  <sheetViews>
    <sheetView showGridLines="0"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115" customWidth="1" min="2" max="2"/>
  </cols>
  <sheetData>
    <row r="1" ht="34" customHeight="1">
      <c r="A1" s="1" t="inlineStr">
        <is>
          <t>DATA QUALITY, SCOPE &amp; INTERPRETATION NOTES</t>
        </is>
      </c>
    </row>
    <row r="2" ht="28" customHeight="1">
      <c r="A2" s="13" t="n"/>
      <c r="B2" s="13" t="n"/>
    </row>
    <row r="3" ht="32" customHeight="1">
      <c r="A3" s="18" t="inlineStr">
        <is>
          <t>Dataset size</t>
        </is>
      </c>
      <c r="B3" s="14" t="inlineStr">
        <is>
          <t>7,086 records across seven retained columns.</t>
        </is>
      </c>
    </row>
    <row r="4" ht="32" customHeight="1">
      <c r="A4" s="18" t="inlineStr">
        <is>
          <t>Numeric rating analysis</t>
        </is>
      </c>
      <c r="B4" s="16" t="inlineStr">
        <is>
          <t>6,489 records with numeric ratings from 1 to 5 after excluding Kestrel Ringwood and Kestrel Tamworth.</t>
        </is>
      </c>
    </row>
    <row r="5" ht="32" customHeight="1">
      <c r="A5" s="18" t="inlineStr">
        <is>
          <t>Ringwood</t>
        </is>
      </c>
      <c r="B5" s="14" t="inlineStr">
        <is>
          <t>Excluded from numeric rating charts because the supplied rating standardisation is inconsistent and requires validation.</t>
        </is>
      </c>
    </row>
    <row r="6" ht="32" customHeight="1">
      <c r="A6" s="18" t="inlineStr">
        <is>
          <t>Tamworth</t>
        </is>
      </c>
      <c r="B6" s="16" t="inlineStr">
        <is>
          <t>Excluded because 143 records do not contain usable numeric ratings; text categories were not converted into invented numbers.</t>
        </is>
      </c>
    </row>
    <row r="7" ht="42" customHeight="1">
      <c r="A7" s="18" t="inlineStr">
        <is>
          <t>Monthly trend window</t>
        </is>
      </c>
      <c r="B7" s="14" t="inlineStr">
        <is>
          <t>October 2025–September 2026 includes 6,473 valid ratings. Of the 6,489 rating-analysis records, 10 have missing/unparseable dates and six valid-rated records fall outside this window (October–December 2026).</t>
        </is>
      </c>
    </row>
    <row r="8" ht="32" customHeight="1">
      <c r="A8" s="18" t="inlineStr">
        <is>
          <t>Missing ratings</t>
        </is>
      </c>
      <c r="B8" s="16" t="inlineStr">
        <is>
          <t>143 records have no usable numeric rating in the supplied consolidated file.</t>
        </is>
      </c>
    </row>
    <row r="9" ht="32" customHeight="1">
      <c r="A9" s="18" t="inlineStr">
        <is>
          <t>Missing comments</t>
        </is>
      </c>
      <c r="B9" s="14" t="inlineStr">
        <is>
          <t>1,725 records have no customer feedback text.</t>
        </is>
      </c>
    </row>
    <row r="10" ht="32" customHeight="1">
      <c r="A10" s="18" t="inlineStr">
        <is>
          <t>Exact duplicates</t>
        </is>
      </c>
      <c r="B10" s="16" t="inlineStr">
        <is>
          <t>47 exact duplicate rows retained; no records were deleted for this workbook.</t>
        </is>
      </c>
    </row>
    <row r="11" ht="32" customHeight="1">
      <c r="A11" s="18" t="inlineStr">
        <is>
          <t>Theme methodology</t>
        </is>
      </c>
      <c r="B11" s="14" t="inlineStr">
        <is>
          <t>Theme tags overlap. One record can contribute to more than one theme; theme counts are not mutually exclusive.</t>
        </is>
      </c>
    </row>
    <row r="12" ht="42" customHeight="1">
      <c r="A12" s="18" t="inlineStr">
        <is>
          <t>VADER sentiment</t>
        </is>
      </c>
      <c r="B12" s="16" t="inlineStr">
        <is>
          <t>No VADER sentiment chart is shown because the notebook's manual validation sample agreed on 18 of 30 comments (60%) overall and 5 of 13 manually labelled negative comments (38.5%). This small sample is directional only, not a reliable accuracy estimate.</t>
        </is>
      </c>
    </row>
    <row r="13" ht="42" customHeight="1">
      <c r="A13" s="18" t="inlineStr">
        <is>
          <t>Dealership mapping</t>
        </is>
      </c>
      <c r="B13" s="14" t="inlineStr">
        <is>
          <t>Three labels could not be matched reliably to revenue: Unmapped - KMG-IPS, Unmapped - HUNTER, and Unmapped - North Queensland.</t>
        </is>
      </c>
    </row>
    <row r="14" ht="42" customHeight="1">
      <c r="A14" s="18" t="inlineStr">
        <is>
          <t>Privacy</t>
        </is>
      </c>
      <c r="B14" s="16" t="inlineStr">
        <is>
          <t>This workbook contains aggregated analysis only and does not include customer-level comments. The separate CSV has only targeted pattern-based redactions; those redactions do not prove complete anonymisation.</t>
        </is>
      </c>
    </row>
    <row r="15" ht="42" customHeight="1">
      <c r="A15" s="18" t="inlineStr">
        <is>
          <t>Interpretation</t>
        </is>
      </c>
      <c r="B15" s="14" t="inlineStr">
        <is>
          <t>Charts are descriptive and do not establish causes or prove revenue impact. Validate rating scales and business mappings before operational decisions.</t>
        </is>
      </c>
    </row>
  </sheetData>
  <autoFilter ref="A2:B15"/>
  <mergeCells count="1">
    <mergeCell ref="A1:B1"/>
  </mergeCells>
  <pageMargins left="0.25" right="0.25" top="0.35" bottom="0.35" header="0.15" footer="0.1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Kestrel Customer Feedback Analysis</dc:creator>
  <dc:title xmlns:dc="http://purl.org/dc/elements/1.1/">Kestrel Motor Group Customer Feedback Visual Summary</dc:title>
  <dc:subject xmlns:dc="http://purl.org/dc/elements/1.1/">Aggregated customer feedback analysis; no customer-level comments included</dc:subject>
  <dcterms:created xmlns:dcterms="http://purl.org/dc/terms/" xmlns:xsi="http://www.w3.org/2001/XMLSchema-instance" xsi:type="dcterms:W3CDTF">2026-10-27T23:11:18Z</dcterms:created>
  <dcterms:modified xmlns:dcterms="http://purl.org/dc/terms/" xmlns:xsi="http://www.w3.org/2001/XMLSchema-instance" xsi:type="dcterms:W3CDTF">2026-10-27T23:12:10Z</dcterms:modified>
</cp:coreProperties>
</file>